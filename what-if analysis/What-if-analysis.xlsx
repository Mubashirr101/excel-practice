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\Documents\"/>
    </mc:Choice>
  </mc:AlternateContent>
  <xr:revisionPtr revIDLastSave="0" documentId="13_ncr:1_{B1803CA1-BF0F-4539-B80A-0176E5214983}" xr6:coauthVersionLast="47" xr6:coauthVersionMax="47" xr10:uidLastSave="{00000000-0000-0000-0000-000000000000}"/>
  <bookViews>
    <workbookView xWindow="-120" yWindow="-120" windowWidth="20730" windowHeight="11040" activeTab="2" xr2:uid="{46E3DCBC-55A9-184C-ABDE-2C521400326B}"/>
  </bookViews>
  <sheets>
    <sheet name="Cover Page" sheetId="2" r:id="rId1"/>
    <sheet name="Sheet1" sheetId="1" r:id="rId2"/>
    <sheet name="Sheet2" sheetId="3" r:id="rId3"/>
  </sheets>
  <definedNames>
    <definedName name="solver_adj" localSheetId="1" hidden="1">Sheet1!$I$5:$I$6</definedName>
    <definedName name="solver_adj" localSheetId="2" hidden="1">Sheet2!$J$6:$J$7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2</definedName>
    <definedName name="solver_eng" localSheetId="1" hidden="1">1</definedName>
    <definedName name="solver_eng" localSheetId="2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Sheet1!$I$6</definedName>
    <definedName name="solver_lhs1" localSheetId="2" hidden="1">Sheet2!$J$7</definedName>
    <definedName name="solver_lin" localSheetId="1" hidden="1">2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1</definedName>
    <definedName name="solver_num" localSheetId="2" hidden="1">1</definedName>
    <definedName name="solver_nwt" localSheetId="2" hidden="1">1</definedName>
    <definedName name="solver_opt" localSheetId="1" hidden="1">Sheet1!$B$4</definedName>
    <definedName name="solver_opt" localSheetId="2" hidden="1">Sheet2!$J$16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2</definedName>
    <definedName name="solver_rel1" localSheetId="1" hidden="1">1</definedName>
    <definedName name="solver_rel1" localSheetId="2" hidden="1">1</definedName>
    <definedName name="solver_rhs1" localSheetId="1" hidden="1">2.5</definedName>
    <definedName name="solver_rhs1" localSheetId="2" hidden="1">2.5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2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3</definedName>
    <definedName name="solver_typ" localSheetId="2" hidden="1">3</definedName>
    <definedName name="solver_val" localSheetId="1" hidden="1">10000</definedName>
    <definedName name="solver_val" localSheetId="2" hidden="1">10000</definedName>
    <definedName name="solver_ver" localSheetId="1" hidden="1">2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3" l="1"/>
  <c r="I25" i="3"/>
  <c r="G25" i="3"/>
  <c r="H24" i="3"/>
  <c r="I24" i="3"/>
  <c r="G24" i="3"/>
  <c r="H23" i="3"/>
  <c r="O7" i="3"/>
  <c r="Q7" i="3"/>
  <c r="M9" i="3"/>
  <c r="M11" i="3"/>
  <c r="J6" i="3"/>
  <c r="J15" i="3"/>
  <c r="G6" i="3"/>
  <c r="G15" i="3"/>
  <c r="C6" i="3"/>
  <c r="I13" i="1"/>
  <c r="I12" i="1"/>
  <c r="I11" i="1"/>
  <c r="I14" i="1" s="1"/>
  <c r="H26" i="3" l="1"/>
  <c r="G26" i="3"/>
  <c r="I26" i="3"/>
  <c r="I23" i="3"/>
  <c r="M8" i="3"/>
  <c r="N7" i="3"/>
  <c r="R7" i="3"/>
  <c r="M12" i="3"/>
  <c r="J13" i="3"/>
  <c r="J14" i="3"/>
  <c r="G14" i="3"/>
  <c r="G13" i="3"/>
  <c r="C8" i="3"/>
  <c r="F11" i="1"/>
  <c r="G16" i="3" l="1"/>
  <c r="J16" i="3"/>
  <c r="M7" i="3" s="1"/>
</calcChain>
</file>

<file path=xl/sharedStrings.xml><?xml version="1.0" encoding="utf-8"?>
<sst xmlns="http://schemas.openxmlformats.org/spreadsheetml/2006/main" count="84" uniqueCount="36">
  <si>
    <t>Quantity Sold</t>
  </si>
  <si>
    <t>Price per Unit</t>
  </si>
  <si>
    <t>Variable Cost per Unit</t>
  </si>
  <si>
    <t>Fixed Cost</t>
  </si>
  <si>
    <t>Income Statement</t>
  </si>
  <si>
    <t>Total Revenue</t>
  </si>
  <si>
    <t>Variable Costs</t>
  </si>
  <si>
    <t>Fixed Costs</t>
  </si>
  <si>
    <t>Profit</t>
  </si>
  <si>
    <t xml:space="preserve"> </t>
  </si>
  <si>
    <t>Revenue</t>
  </si>
  <si>
    <t>Financials Pt 1</t>
  </si>
  <si>
    <t>Financials Pt 2</t>
  </si>
  <si>
    <t>Constraints</t>
  </si>
  <si>
    <t>Max Price per Unit</t>
  </si>
  <si>
    <t>Financials Pt 3</t>
  </si>
  <si>
    <t>What-if Analysis (Goal Seek, Solver, Data Table)</t>
  </si>
  <si>
    <t>Sensitivity Analysis</t>
  </si>
  <si>
    <r>
      <t>Get 10%</t>
    </r>
    <r>
      <rPr>
        <b/>
        <sz val="16"/>
        <color theme="1"/>
        <rFont val="Calibri"/>
        <family val="2"/>
        <scheme val="minor"/>
      </rPr>
      <t xml:space="preserve">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</si>
  <si>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Complete Finance &amp; Valuation Course</t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</si>
  <si>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</si>
  <si>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</si>
  <si>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</si>
  <si>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</si>
  <si>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Excel What-If Analysis</t>
  </si>
  <si>
    <t>Scenario Analysis</t>
  </si>
  <si>
    <t>$ in actual figures</t>
  </si>
  <si>
    <t>Revenues</t>
  </si>
  <si>
    <t>Costs</t>
  </si>
  <si>
    <t>Net Income (Loss)</t>
  </si>
  <si>
    <t>Revenue Scenarios</t>
  </si>
  <si>
    <t>1. Best Case</t>
  </si>
  <si>
    <t>2. Base Case</t>
  </si>
  <si>
    <t>3. Worst Case</t>
  </si>
  <si>
    <t>Cost Scenarios</t>
  </si>
  <si>
    <t>Choose a Scenario: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</si>
</sst>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#,##0_);\(#,##0\);\-\-_)"/>
    <numFmt numFmtId="166" formatCode="#,##0.00_);\(#,##0.00\);\-\-_)"/>
    <numFmt numFmtId="167" formatCode="_(* #,##0_);_(* \(#,##0\);_(* &quot;-&quot;??_);_(@_)"/>
    <numFmt numFmtId="168" formatCode="0.0"/>
    <numFmt numFmtId="169" formatCode="_-* #,##0_-;\-* #,##0_-;_-* &quot;-&quot;??_-;_-@_-"/>
    <numFmt numFmtId="170" formatCode="yyyy\E"/>
  </numFmts>
  <fonts count="1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5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93D6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A3C6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0" fontId="13" fillId="0" borderId="0" applyNumberFormat="0" applyFill="0" applyBorder="0" applyAlignment="0" applyProtection="0"/>
  </cellStyleXfs>
  <cellXfs count="57">
    <xf numFmtId="0" fontId="0" fillId="0" borderId="0" xfId="0"/>
    <xf numFmtId="0" fontId="4" fillId="3" borderId="2" xfId="0" applyFont="1" applyFill="1" applyBorder="1" applyAlignment="1">
      <alignment horizontal="left"/>
    </xf>
    <xf numFmtId="165" fontId="4" fillId="3" borderId="2" xfId="0" applyNumberFormat="1" applyFont="1" applyFill="1" applyBorder="1"/>
    <xf numFmtId="0" fontId="0" fillId="0" borderId="0" xfId="0" applyAlignment="1">
      <alignment horizontal="left"/>
    </xf>
    <xf numFmtId="165" fontId="5" fillId="0" borderId="0" xfId="0" applyNumberFormat="1" applyFont="1"/>
    <xf numFmtId="166" fontId="5" fillId="0" borderId="0" xfId="0" applyNumberFormat="1" applyFont="1"/>
    <xf numFmtId="165" fontId="0" fillId="0" borderId="0" xfId="0" applyNumberFormat="1"/>
    <xf numFmtId="0" fontId="0" fillId="0" borderId="1" xfId="0" applyBorder="1"/>
    <xf numFmtId="168" fontId="0" fillId="0" borderId="6" xfId="0" applyNumberFormat="1" applyBorder="1" applyAlignment="1">
      <alignment horizontal="center"/>
    </xf>
    <xf numFmtId="167" fontId="0" fillId="0" borderId="0" xfId="1" applyNumberFormat="1" applyFont="1" applyFill="1"/>
    <xf numFmtId="169" fontId="0" fillId="0" borderId="4" xfId="1" applyNumberFormat="1" applyFont="1" applyBorder="1" applyAlignment="1">
      <alignment horizontal="center"/>
    </xf>
    <xf numFmtId="167" fontId="0" fillId="0" borderId="0" xfId="0" applyNumberFormat="1"/>
    <xf numFmtId="2" fontId="0" fillId="0" borderId="0" xfId="0" applyNumberFormat="1"/>
    <xf numFmtId="0" fontId="6" fillId="0" borderId="1" xfId="0" applyFont="1" applyBorder="1" applyAlignment="1">
      <alignment horizontal="left" vertical="center" indent="1"/>
    </xf>
    <xf numFmtId="0" fontId="1" fillId="0" borderId="7" xfId="3" applyBorder="1"/>
    <xf numFmtId="0" fontId="9" fillId="0" borderId="8" xfId="3" applyFont="1" applyBorder="1" applyAlignment="1">
      <alignment horizontal="center" vertical="center"/>
    </xf>
    <xf numFmtId="0" fontId="1" fillId="0" borderId="9" xfId="3" applyBorder="1"/>
    <xf numFmtId="0" fontId="1" fillId="5" borderId="0" xfId="3" applyFill="1"/>
    <xf numFmtId="0" fontId="1" fillId="0" borderId="10" xfId="3" applyBorder="1"/>
    <xf numFmtId="0" fontId="9" fillId="0" borderId="0" xfId="3" applyFont="1" applyAlignment="1">
      <alignment horizontal="center" vertical="center"/>
    </xf>
    <xf numFmtId="0" fontId="1" fillId="0" borderId="5" xfId="3" applyBorder="1"/>
    <xf numFmtId="0" fontId="1" fillId="0" borderId="0" xfId="3"/>
    <xf numFmtId="0" fontId="2" fillId="0" borderId="10" xfId="3" applyFont="1" applyBorder="1"/>
    <xf numFmtId="0" fontId="10" fillId="0" borderId="0" xfId="3" applyFont="1" applyAlignment="1">
      <alignment horizontal="center"/>
    </xf>
    <xf numFmtId="0" fontId="2" fillId="0" borderId="5" xfId="3" applyFont="1" applyBorder="1"/>
    <xf numFmtId="0" fontId="2" fillId="5" borderId="0" xfId="3" applyFont="1" applyFill="1"/>
    <xf numFmtId="0" fontId="10" fillId="0" borderId="0" xfId="3" applyFont="1"/>
    <xf numFmtId="0" fontId="1" fillId="0" borderId="10" xfId="3" applyBorder="1" applyAlignment="1">
      <alignment vertical="center"/>
    </xf>
    <xf numFmtId="0" fontId="12" fillId="6" borderId="11" xfId="2" applyFont="1" applyFill="1" applyBorder="1" applyAlignment="1">
      <alignment horizontal="center" vertical="center"/>
    </xf>
    <xf numFmtId="0" fontId="1" fillId="0" borderId="5" xfId="3" applyBorder="1" applyAlignment="1">
      <alignment vertical="center"/>
    </xf>
    <xf numFmtId="0" fontId="1" fillId="5" borderId="0" xfId="3" applyFill="1" applyAlignment="1">
      <alignment vertical="center"/>
    </xf>
    <xf numFmtId="0" fontId="14" fillId="0" borderId="0" xfId="4" applyFont="1" applyFill="1" applyBorder="1"/>
    <xf numFmtId="0" fontId="7" fillId="0" borderId="3" xfId="3" applyFont="1" applyBorder="1"/>
    <xf numFmtId="0" fontId="1" fillId="0" borderId="0" xfId="3" applyAlignment="1">
      <alignment vertical="top" wrapText="1"/>
    </xf>
    <xf numFmtId="0" fontId="1" fillId="0" borderId="12" xfId="3" applyBorder="1"/>
    <xf numFmtId="0" fontId="1" fillId="0" borderId="3" xfId="3" applyBorder="1"/>
    <xf numFmtId="0" fontId="1" fillId="0" borderId="13" xfId="3" applyBorder="1"/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textRotation="90"/>
    </xf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0" xfId="0" applyFont="1" applyFill="1" applyAlignment="1">
      <alignment horizontal="left"/>
    </xf>
    <xf numFmtId="14" fontId="3" fillId="2" borderId="0" xfId="0" applyNumberFormat="1" applyFont="1" applyFill="1"/>
    <xf numFmtId="170" fontId="3" fillId="2" borderId="0" xfId="0" applyNumberFormat="1" applyFont="1" applyFill="1"/>
    <xf numFmtId="167" fontId="0" fillId="0" borderId="0" xfId="1" applyNumberFormat="1" applyFont="1"/>
    <xf numFmtId="0" fontId="4" fillId="3" borderId="4" xfId="0" applyFont="1" applyFill="1" applyBorder="1"/>
    <xf numFmtId="167" fontId="4" fillId="3" borderId="4" xfId="1" applyNumberFormat="1" applyFont="1" applyFill="1" applyBorder="1"/>
    <xf numFmtId="0" fontId="4" fillId="7" borderId="0" xfId="0" applyFont="1" applyFill="1"/>
    <xf numFmtId="170" fontId="0" fillId="7" borderId="0" xfId="0" applyNumberFormat="1" applyFill="1"/>
    <xf numFmtId="0" fontId="0" fillId="7" borderId="0" xfId="0" applyFill="1" applyAlignment="1">
      <alignment horizontal="left" indent="1"/>
    </xf>
    <xf numFmtId="167" fontId="5" fillId="7" borderId="0" xfId="1" applyNumberFormat="1" applyFont="1" applyFill="1"/>
    <xf numFmtId="0" fontId="0" fillId="7" borderId="0" xfId="0" applyFill="1"/>
    <xf numFmtId="0" fontId="5" fillId="7" borderId="0" xfId="0" applyFont="1" applyFill="1"/>
    <xf numFmtId="0" fontId="4" fillId="8" borderId="0" xfId="0" applyFont="1" applyFill="1" applyBorder="1"/>
    <xf numFmtId="167" fontId="4" fillId="8" borderId="0" xfId="1" applyNumberFormat="1" applyFont="1" applyFill="1" applyBorder="1"/>
    <xf numFmtId="167" fontId="4" fillId="8" borderId="14" xfId="1" applyNumberFormat="1" applyFont="1" applyFill="1" applyBorder="1"/>
  </cellXfs>
  <cellStyles count="5">
    <cellStyle name="Comma" xfId="1" builtinId="3"/>
    <cellStyle name="Hyperlink" xfId="2" builtinId="8"/>
    <cellStyle name="Hyperlink 2 2" xfId="4" xr:uid="{5BF4CD9F-C341-4A63-9A42-D511F773988A}"/>
    <cellStyle name="Normal" xfId="0" builtinId="0"/>
    <cellStyle name="Normal 2" xfId="3" xr:uid="{23E221D2-831A-4364-8820-7A3E8843FBF4}"/>
  </cellStyles>
  <dxfs count="0"/>
  <tableStyles count="0" defaultTableStyle="TableStyleMedium2" defaultPivotStyle="PivotStyleLight16"/>
  <colors>
    <mruColors>
      <color rgb="FF2A3C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2434775</xdr:colOff>
      <xdr:row>4</xdr:row>
      <xdr:rowOff>190501</xdr:rowOff>
    </xdr:from>
    <xdr:ext cx="3050985" cy="865353"/>
    <xdr:pic>
      <xdr:nvPicPr>
        <xdr:cNvPr id="2" name="Picture 1">
          <a:extLst>
            <a:ext uri="{FF2B5EF4-FFF2-40B4-BE49-F238E27FC236}">
              <a16:creationId xmlns:a16="http://schemas.microsoft.com/office/drawing/2014/main" id="{D877026B-57E6-492E-A3A6-E5EC05321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7475" y="1555751"/>
          <a:ext cx="3050985" cy="86535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94323</xdr:colOff>
      <xdr:row>1</xdr:row>
      <xdr:rowOff>59221</xdr:rowOff>
    </xdr:from>
    <xdr:to>
      <xdr:col>2</xdr:col>
      <xdr:colOff>110951</xdr:colOff>
      <xdr:row>1</xdr:row>
      <xdr:rowOff>434753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638437-E5D9-4662-97E0-31B2E5EE9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9419" y="261450"/>
          <a:ext cx="1132934" cy="375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finance-valuation-course?utm_source=YTDownloadFile&amp;utm_medium=what-if-analysis-jan-13-2023&amp;utm_campaign=YTDownloa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B58C-6605-49CB-8484-29C6E7C8913F}">
  <dimension ref="B4:D19"/>
  <sheetViews>
    <sheetView showGridLines="0" zoomScale="70" zoomScaleNormal="70" workbookViewId="0">
      <selection activeCell="B1" sqref="B1"/>
    </sheetView>
  </sheetViews>
  <sheetFormatPr defaultColWidth="9.5" defaultRowHeight="15" x14ac:dyDescent="0.25"/>
  <cols>
    <col min="1" max="1" width="9.5" style="17"/>
    <col min="2" max="2" width="7.375" style="17" customWidth="1"/>
    <col min="3" max="3" width="96.75" style="17" bestFit="1" customWidth="1"/>
    <col min="4" max="4" width="8.25" style="17" customWidth="1"/>
    <col min="5" max="16384" width="9.5" style="17"/>
  </cols>
  <sheetData>
    <row r="4" spans="2:4" ht="64.5" x14ac:dyDescent="0.25">
      <c r="B4" s="14"/>
      <c r="C4" s="15" t="s">
        <v>24</v>
      </c>
      <c r="D4" s="16"/>
    </row>
    <row r="5" spans="2:4" ht="64.5" x14ac:dyDescent="0.25">
      <c r="B5" s="18"/>
      <c r="C5" s="19"/>
      <c r="D5" s="20"/>
    </row>
    <row r="6" spans="2:4" x14ac:dyDescent="0.25">
      <c r="B6" s="18"/>
      <c r="C6" s="21"/>
      <c r="D6" s="20"/>
    </row>
    <row r="7" spans="2:4" x14ac:dyDescent="0.25">
      <c r="B7" s="18"/>
      <c r="C7" s="21"/>
      <c r="D7" s="20"/>
    </row>
    <row r="8" spans="2:4" x14ac:dyDescent="0.25">
      <c r="B8" s="18"/>
      <c r="C8" s="21"/>
      <c r="D8" s="20"/>
    </row>
    <row r="9" spans="2:4" s="25" customFormat="1" ht="21" x14ac:dyDescent="0.35">
      <c r="B9" s="22"/>
      <c r="C9" s="23" t="s">
        <v>18</v>
      </c>
      <c r="D9" s="24"/>
    </row>
    <row r="10" spans="2:4" s="25" customFormat="1" ht="21" x14ac:dyDescent="0.35">
      <c r="B10" s="22"/>
      <c r="C10" s="26"/>
      <c r="D10" s="24"/>
    </row>
    <row r="11" spans="2:4" s="30" customFormat="1" ht="23.45" customHeight="1" x14ac:dyDescent="0.25">
      <c r="B11" s="27"/>
      <c r="C11" s="28" t="s">
        <v>19</v>
      </c>
      <c r="D11" s="29"/>
    </row>
    <row r="12" spans="2:4" x14ac:dyDescent="0.25">
      <c r="B12" s="18"/>
      <c r="C12" s="21"/>
      <c r="D12" s="20"/>
    </row>
    <row r="13" spans="2:4" x14ac:dyDescent="0.25">
      <c r="B13" s="18"/>
      <c r="C13" s="21"/>
      <c r="D13" s="20"/>
    </row>
    <row r="14" spans="2:4" x14ac:dyDescent="0.25">
      <c r="B14" s="18"/>
      <c r="C14" s="21"/>
      <c r="D14" s="20"/>
    </row>
    <row r="15" spans="2:4" ht="18.75" x14ac:dyDescent="0.3">
      <c r="B15" s="18"/>
      <c r="C15" s="31" t="s">
        <v>20</v>
      </c>
      <c r="D15" s="20"/>
    </row>
    <row r="16" spans="2:4" x14ac:dyDescent="0.25">
      <c r="B16" s="18"/>
      <c r="C16" s="32" t="s">
        <v>21</v>
      </c>
      <c r="D16" s="20"/>
    </row>
    <row r="17" spans="2:4" x14ac:dyDescent="0.25">
      <c r="B17" s="18"/>
      <c r="C17" s="21" t="s">
        <v>22</v>
      </c>
      <c r="D17" s="20"/>
    </row>
    <row r="18" spans="2:4" ht="30" x14ac:dyDescent="0.25">
      <c r="B18" s="18"/>
      <c r="C18" s="33" t="s">
        <v>23</v>
      </c>
      <c r="D18" s="20"/>
    </row>
    <row r="19" spans="2:4" x14ac:dyDescent="0.25">
      <c r="B19" s="34"/>
      <c r="C19" s="35"/>
      <c r="D19" s="36"/>
    </row>
  </sheetData>
  <sheetProtection algorithmName="SHA-512" hashValue="h8CSiNWiGGadFCalw9V4Zq5tl95cn306Y2LmJoSoao4nRg+opZN4e7YgYAnvHPh7sXyLSvfjNEwCgXkJJVSWtg==" saltValue="OwVnXFKaUzvPGf0ozx/LrA==" spinCount="100000" sheet="1" objects="1" scenarios="1"/>
  <hyperlinks>
    <hyperlink ref="C11" r:id="rId1" xr:uid="{0027A15F-921F-4263-9037-FFE58CE87CAB}"/>
    <hyperlink ref="C15" r:id="rId2" display="Made by Kenji Explains" xr:uid="{806915B4-2F5B-428D-8D04-DFB611F36CC9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45A8-39BF-B24C-82DD-3802829934A8}">
  <dimension ref="A2:Q24"/>
  <sheetViews>
    <sheetView showGridLines="0" topLeftCell="A8" zoomScaleNormal="100" workbookViewId="0">
      <selection activeCell="E24" sqref="B20:E24"/>
    </sheetView>
  </sheetViews>
  <sheetFormatPr defaultColWidth="10.625" defaultRowHeight="15.75" x14ac:dyDescent="0.25"/>
  <cols>
    <col min="1" max="1" width="3" customWidth="1"/>
    <col min="2" max="2" width="14.625" customWidth="1"/>
    <col min="3" max="3" width="27.5" customWidth="1"/>
    <col min="4" max="4" width="5.625" customWidth="1"/>
    <col min="5" max="5" width="19.375" customWidth="1"/>
    <col min="6" max="6" width="8.125" bestFit="1" customWidth="1"/>
    <col min="7" max="7" width="5.125" customWidth="1"/>
    <col min="8" max="8" width="18.625" customWidth="1"/>
    <col min="9" max="9" width="8.125" bestFit="1" customWidth="1"/>
    <col min="10" max="10" width="6.5" customWidth="1"/>
    <col min="11" max="11" width="3.625" customWidth="1"/>
    <col min="12" max="12" width="7.5" customWidth="1"/>
  </cols>
  <sheetData>
    <row r="2" spans="1:17" ht="39" customHeight="1" x14ac:dyDescent="0.25">
      <c r="A2" t="s">
        <v>9</v>
      </c>
      <c r="B2" s="7"/>
      <c r="C2" s="13" t="s">
        <v>16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4" spans="1:17" x14ac:dyDescent="0.25">
      <c r="B4" s="40" t="s">
        <v>11</v>
      </c>
      <c r="C4" s="40"/>
      <c r="E4" s="40" t="s">
        <v>12</v>
      </c>
      <c r="F4" s="40"/>
      <c r="H4" s="40" t="s">
        <v>15</v>
      </c>
      <c r="I4" s="40"/>
      <c r="K4" s="39" t="s">
        <v>17</v>
      </c>
      <c r="L4" s="39"/>
      <c r="M4" s="39"/>
      <c r="N4" s="39"/>
      <c r="O4" s="39"/>
      <c r="P4" s="39"/>
      <c r="Q4" s="39"/>
    </row>
    <row r="5" spans="1:17" x14ac:dyDescent="0.25">
      <c r="B5" s="3" t="s">
        <v>0</v>
      </c>
      <c r="C5" s="4">
        <v>1000</v>
      </c>
      <c r="E5" s="3" t="s">
        <v>0</v>
      </c>
      <c r="F5" s="4">
        <v>1000</v>
      </c>
      <c r="H5" s="3" t="s">
        <v>0</v>
      </c>
      <c r="I5" s="4">
        <v>1000</v>
      </c>
      <c r="M5" s="37" t="s">
        <v>0</v>
      </c>
      <c r="N5" s="37"/>
      <c r="O5" s="37"/>
      <c r="P5" s="37"/>
      <c r="Q5" s="37"/>
    </row>
    <row r="6" spans="1:17" x14ac:dyDescent="0.25">
      <c r="B6" s="3" t="s">
        <v>1</v>
      </c>
      <c r="C6" s="5">
        <v>2.99</v>
      </c>
      <c r="E6" s="3" t="s">
        <v>1</v>
      </c>
      <c r="F6" s="5">
        <v>2.99</v>
      </c>
      <c r="H6" s="3" t="s">
        <v>1</v>
      </c>
      <c r="I6" s="5">
        <v>2.99</v>
      </c>
      <c r="L6" s="11"/>
      <c r="M6" s="10"/>
      <c r="N6" s="10"/>
      <c r="O6" s="10"/>
      <c r="P6" s="10"/>
      <c r="Q6" s="10"/>
    </row>
    <row r="7" spans="1:17" x14ac:dyDescent="0.25">
      <c r="B7" s="1" t="s">
        <v>10</v>
      </c>
      <c r="C7" s="2"/>
      <c r="E7" s="3" t="s">
        <v>2</v>
      </c>
      <c r="F7" s="5">
        <v>1.35</v>
      </c>
      <c r="H7" s="3" t="s">
        <v>2</v>
      </c>
      <c r="I7" s="5">
        <v>1.35</v>
      </c>
      <c r="K7" s="38" t="s">
        <v>1</v>
      </c>
      <c r="L7" s="8"/>
      <c r="M7" s="9"/>
      <c r="N7" s="9"/>
      <c r="O7" s="9"/>
      <c r="P7" s="9"/>
      <c r="Q7" s="9"/>
    </row>
    <row r="8" spans="1:17" x14ac:dyDescent="0.25">
      <c r="B8" s="3"/>
      <c r="C8" s="6"/>
      <c r="E8" s="3" t="s">
        <v>3</v>
      </c>
      <c r="F8" s="4">
        <v>10000</v>
      </c>
      <c r="H8" s="3" t="s">
        <v>3</v>
      </c>
      <c r="I8" s="4">
        <v>10000</v>
      </c>
      <c r="K8" s="38"/>
      <c r="L8" s="8"/>
      <c r="M8" s="9"/>
      <c r="N8" s="9"/>
      <c r="O8" s="9"/>
      <c r="P8" s="9"/>
      <c r="Q8" s="9"/>
    </row>
    <row r="9" spans="1:17" x14ac:dyDescent="0.25">
      <c r="E9" s="3"/>
      <c r="F9" s="6"/>
      <c r="H9" s="3"/>
      <c r="I9" s="6"/>
      <c r="K9" s="38"/>
      <c r="L9" s="8"/>
      <c r="M9" s="9"/>
      <c r="N9" s="9"/>
      <c r="O9" s="9"/>
      <c r="P9" s="9"/>
      <c r="Q9" s="9"/>
    </row>
    <row r="10" spans="1:17" x14ac:dyDescent="0.25">
      <c r="E10" s="41" t="s">
        <v>4</v>
      </c>
      <c r="F10" s="41"/>
      <c r="H10" s="41" t="s">
        <v>4</v>
      </c>
      <c r="I10" s="41"/>
      <c r="K10" s="38"/>
      <c r="L10" s="8"/>
      <c r="M10" s="9"/>
      <c r="N10" s="9"/>
      <c r="O10" s="9"/>
      <c r="P10" s="9"/>
      <c r="Q10" s="9"/>
    </row>
    <row r="11" spans="1:17" x14ac:dyDescent="0.25">
      <c r="E11" s="3" t="s">
        <v>5</v>
      </c>
      <c r="F11" s="6">
        <f>F5*F6</f>
        <v>2990</v>
      </c>
      <c r="H11" s="3" t="s">
        <v>5</v>
      </c>
      <c r="I11" s="6">
        <f>I5*I6</f>
        <v>2990</v>
      </c>
      <c r="K11" s="38"/>
      <c r="L11" s="8"/>
      <c r="M11" s="9"/>
      <c r="N11" s="9"/>
      <c r="O11" s="9"/>
      <c r="P11" s="9"/>
      <c r="Q11" s="9"/>
    </row>
    <row r="12" spans="1:17" x14ac:dyDescent="0.25">
      <c r="E12" s="3" t="s">
        <v>6</v>
      </c>
      <c r="F12" s="6"/>
      <c r="H12" s="3" t="s">
        <v>6</v>
      </c>
      <c r="I12" s="6">
        <f>-I7*I5</f>
        <v>-1350</v>
      </c>
    </row>
    <row r="13" spans="1:17" x14ac:dyDescent="0.25">
      <c r="E13" s="3" t="s">
        <v>7</v>
      </c>
      <c r="F13" s="6"/>
      <c r="H13" s="3" t="s">
        <v>7</v>
      </c>
      <c r="I13" s="6">
        <f>-I8</f>
        <v>-10000</v>
      </c>
    </row>
    <row r="14" spans="1:17" x14ac:dyDescent="0.25">
      <c r="E14" s="1" t="s">
        <v>8</v>
      </c>
      <c r="F14" s="2"/>
      <c r="H14" s="1" t="s">
        <v>8</v>
      </c>
      <c r="I14" s="2">
        <f>SUM(I11:I13)</f>
        <v>-8360</v>
      </c>
    </row>
    <row r="16" spans="1:17" x14ac:dyDescent="0.25">
      <c r="H16" s="41" t="s">
        <v>13</v>
      </c>
      <c r="I16" s="41"/>
    </row>
    <row r="17" spans="2:9" x14ac:dyDescent="0.25">
      <c r="H17" s="3" t="s">
        <v>14</v>
      </c>
      <c r="I17" s="12">
        <v>2.5</v>
      </c>
    </row>
    <row r="20" spans="2:9" x14ac:dyDescent="0.25">
      <c r="B20" s="40" t="s">
        <v>25</v>
      </c>
      <c r="C20" s="40"/>
      <c r="D20" s="40"/>
      <c r="E20" s="40"/>
    </row>
    <row r="21" spans="2:9" x14ac:dyDescent="0.25">
      <c r="B21" s="42" t="s">
        <v>26</v>
      </c>
      <c r="C21" s="43">
        <v>44562</v>
      </c>
      <c r="D21" s="44"/>
      <c r="E21" s="44"/>
    </row>
    <row r="22" spans="2:9" x14ac:dyDescent="0.25">
      <c r="B22" t="s">
        <v>27</v>
      </c>
      <c r="C22" s="45"/>
      <c r="D22" s="45"/>
      <c r="E22" s="45"/>
    </row>
    <row r="23" spans="2:9" x14ac:dyDescent="0.25">
      <c r="B23" t="s">
        <v>28</v>
      </c>
      <c r="C23" s="45"/>
      <c r="D23" s="45"/>
      <c r="E23" s="45"/>
    </row>
    <row r="24" spans="2:9" x14ac:dyDescent="0.25">
      <c r="B24" s="46" t="s">
        <v>29</v>
      </c>
      <c r="C24" s="47"/>
      <c r="D24" s="47"/>
      <c r="E24" s="47"/>
    </row>
  </sheetData>
  <mergeCells count="10">
    <mergeCell ref="H16:I16"/>
    <mergeCell ref="B20:E20"/>
    <mergeCell ref="M5:Q5"/>
    <mergeCell ref="K7:K11"/>
    <mergeCell ref="K4:Q4"/>
    <mergeCell ref="H4:I4"/>
    <mergeCell ref="B4:C4"/>
    <mergeCell ref="E4:F4"/>
    <mergeCell ref="E10:F10"/>
    <mergeCell ref="H10:I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13192-E1B3-45DF-BEBF-EB169577049C}">
  <dimension ref="B5:R33"/>
  <sheetViews>
    <sheetView tabSelected="1" topLeftCell="E16" workbookViewId="0">
      <selection activeCell="G24" sqref="G24"/>
    </sheetView>
  </sheetViews>
  <sheetFormatPr defaultRowHeight="15.75" x14ac:dyDescent="0.25"/>
  <cols>
    <col min="2" max="2" width="11.875" bestFit="1" customWidth="1"/>
    <col min="6" max="6" width="19" bestFit="1" customWidth="1"/>
    <col min="7" max="7" width="12.25" customWidth="1"/>
    <col min="9" max="9" width="13.5" customWidth="1"/>
    <col min="13" max="13" width="16.125" customWidth="1"/>
  </cols>
  <sheetData>
    <row r="5" spans="2:18" x14ac:dyDescent="0.25">
      <c r="B5" s="40" t="s">
        <v>11</v>
      </c>
      <c r="C5" s="40"/>
      <c r="F5" s="40" t="s">
        <v>12</v>
      </c>
      <c r="G5" s="40"/>
      <c r="I5" s="40" t="s">
        <v>15</v>
      </c>
      <c r="J5" s="40"/>
      <c r="L5" s="39" t="s">
        <v>17</v>
      </c>
      <c r="M5" s="39"/>
      <c r="N5" s="39"/>
      <c r="O5" s="39"/>
      <c r="P5" s="39"/>
      <c r="Q5" s="39"/>
      <c r="R5" s="39"/>
    </row>
    <row r="6" spans="2:18" x14ac:dyDescent="0.25">
      <c r="B6" s="3" t="s">
        <v>0</v>
      </c>
      <c r="C6" s="4">
        <f>ROUNDUP(3344.48160535117,0)</f>
        <v>3345</v>
      </c>
      <c r="F6" s="3" t="s">
        <v>0</v>
      </c>
      <c r="G6" s="4">
        <f>ROUNDUP(12195.1219512195,0)</f>
        <v>12196</v>
      </c>
      <c r="I6" s="3" t="s">
        <v>0</v>
      </c>
      <c r="J6" s="4">
        <f>ROUNDUP(17391.3043486957,0)</f>
        <v>17392</v>
      </c>
      <c r="N6" s="37" t="s">
        <v>0</v>
      </c>
      <c r="O6" s="37"/>
      <c r="P6" s="37"/>
      <c r="Q6" s="37"/>
      <c r="R6" s="37"/>
    </row>
    <row r="7" spans="2:18" x14ac:dyDescent="0.25">
      <c r="B7" s="3" t="s">
        <v>1</v>
      </c>
      <c r="C7" s="5">
        <v>2.99</v>
      </c>
      <c r="F7" s="3" t="s">
        <v>1</v>
      </c>
      <c r="G7" s="5">
        <v>2.99</v>
      </c>
      <c r="I7" s="3" t="s">
        <v>1</v>
      </c>
      <c r="J7" s="5">
        <v>2.5</v>
      </c>
      <c r="M7" s="11">
        <f>J16</f>
        <v>10000.799999999999</v>
      </c>
      <c r="N7" s="10">
        <f>O7-500</f>
        <v>16392</v>
      </c>
      <c r="O7" s="10">
        <f>P7-500</f>
        <v>16892</v>
      </c>
      <c r="P7" s="10">
        <v>17392</v>
      </c>
      <c r="Q7" s="10">
        <f>P7+500</f>
        <v>17892</v>
      </c>
      <c r="R7" s="10">
        <f>Q7+500</f>
        <v>18392</v>
      </c>
    </row>
    <row r="8" spans="2:18" x14ac:dyDescent="0.25">
      <c r="B8" s="1" t="s">
        <v>10</v>
      </c>
      <c r="C8" s="2">
        <f>C6*C7</f>
        <v>10001.550000000001</v>
      </c>
      <c r="F8" s="3" t="s">
        <v>2</v>
      </c>
      <c r="G8" s="5">
        <v>1.35</v>
      </c>
      <c r="I8" s="3" t="s">
        <v>2</v>
      </c>
      <c r="J8" s="5">
        <v>1.35</v>
      </c>
      <c r="L8" s="38" t="s">
        <v>1</v>
      </c>
      <c r="M8" s="8">
        <f>M9-0.5</f>
        <v>1.5</v>
      </c>
      <c r="N8" s="9">
        <f t="dataTable" ref="N8:R12" dt2D="1" dtr="1" r1="J6" r2="J7"/>
        <v>-7541.2000000000007</v>
      </c>
      <c r="O8" s="9">
        <v>-7466.2000000000007</v>
      </c>
      <c r="P8" s="9">
        <v>-7391.2000000000007</v>
      </c>
      <c r="Q8" s="9">
        <v>-7316.2000000000007</v>
      </c>
      <c r="R8" s="9">
        <v>-7241.2000000000007</v>
      </c>
    </row>
    <row r="9" spans="2:18" x14ac:dyDescent="0.25">
      <c r="F9" s="3" t="s">
        <v>3</v>
      </c>
      <c r="G9" s="4">
        <v>10000</v>
      </c>
      <c r="I9" s="3" t="s">
        <v>3</v>
      </c>
      <c r="J9" s="4">
        <v>10000</v>
      </c>
      <c r="L9" s="38"/>
      <c r="M9" s="8">
        <f>M10-0.5</f>
        <v>2</v>
      </c>
      <c r="N9" s="9">
        <v>654.79999999999927</v>
      </c>
      <c r="O9" s="9">
        <v>979.79999999999927</v>
      </c>
      <c r="P9" s="9">
        <v>1304.7999999999993</v>
      </c>
      <c r="Q9" s="9">
        <v>1629.7999999999993</v>
      </c>
      <c r="R9" s="9">
        <v>1954.7999999999993</v>
      </c>
    </row>
    <row r="10" spans="2:18" x14ac:dyDescent="0.25">
      <c r="L10" s="38"/>
      <c r="M10" s="8">
        <v>2.5</v>
      </c>
      <c r="N10" s="9">
        <v>8850.7999999999993</v>
      </c>
      <c r="O10" s="9">
        <v>9425.7999999999993</v>
      </c>
      <c r="P10" s="9">
        <v>10000.799999999999</v>
      </c>
      <c r="Q10" s="9">
        <v>10575.8</v>
      </c>
      <c r="R10" s="9">
        <v>11150.8</v>
      </c>
    </row>
    <row r="11" spans="2:18" x14ac:dyDescent="0.25">
      <c r="L11" s="38"/>
      <c r="M11" s="8">
        <f>M10+0.5</f>
        <v>3</v>
      </c>
      <c r="N11" s="9">
        <v>17046.8</v>
      </c>
      <c r="O11" s="9">
        <v>17871.8</v>
      </c>
      <c r="P11" s="9">
        <v>18696.8</v>
      </c>
      <c r="Q11" s="9">
        <v>19521.8</v>
      </c>
      <c r="R11" s="9">
        <v>20346.8</v>
      </c>
    </row>
    <row r="12" spans="2:18" x14ac:dyDescent="0.25">
      <c r="F12" s="41" t="s">
        <v>4</v>
      </c>
      <c r="G12" s="41"/>
      <c r="I12" s="41" t="s">
        <v>4</v>
      </c>
      <c r="J12" s="41"/>
      <c r="L12" s="38"/>
      <c r="M12" s="8">
        <f>M11+0.5</f>
        <v>3.5</v>
      </c>
      <c r="N12" s="9">
        <v>25242.800000000003</v>
      </c>
      <c r="O12" s="9">
        <v>26317.800000000003</v>
      </c>
      <c r="P12" s="9">
        <v>27392.800000000003</v>
      </c>
      <c r="Q12" s="9">
        <v>28467.800000000003</v>
      </c>
      <c r="R12" s="9">
        <v>29542.800000000003</v>
      </c>
    </row>
    <row r="13" spans="2:18" x14ac:dyDescent="0.25">
      <c r="F13" s="3" t="s">
        <v>5</v>
      </c>
      <c r="G13" s="6">
        <f>G6*G7</f>
        <v>36466.04</v>
      </c>
      <c r="I13" s="3" t="s">
        <v>5</v>
      </c>
      <c r="J13" s="6">
        <f>J6*J7</f>
        <v>43480</v>
      </c>
    </row>
    <row r="14" spans="2:18" x14ac:dyDescent="0.25">
      <c r="F14" s="3" t="s">
        <v>6</v>
      </c>
      <c r="G14" s="6">
        <f>G8*G6</f>
        <v>16464.600000000002</v>
      </c>
      <c r="I14" s="3" t="s">
        <v>6</v>
      </c>
      <c r="J14" s="6">
        <f>J8*J6</f>
        <v>23479.200000000001</v>
      </c>
    </row>
    <row r="15" spans="2:18" x14ac:dyDescent="0.25">
      <c r="F15" s="3" t="s">
        <v>7</v>
      </c>
      <c r="G15" s="6">
        <f>G9</f>
        <v>10000</v>
      </c>
      <c r="I15" s="3" t="s">
        <v>7</v>
      </c>
      <c r="J15" s="6">
        <f>J9</f>
        <v>10000</v>
      </c>
    </row>
    <row r="16" spans="2:18" x14ac:dyDescent="0.25">
      <c r="F16" s="1" t="s">
        <v>8</v>
      </c>
      <c r="G16" s="2">
        <f>G13-G14-G15</f>
        <v>10001.439999999999</v>
      </c>
      <c r="I16" s="1" t="s">
        <v>8</v>
      </c>
      <c r="J16" s="2">
        <f>J13-J14-J15</f>
        <v>10000.799999999999</v>
      </c>
    </row>
    <row r="22" spans="6:16" x14ac:dyDescent="0.25">
      <c r="F22" s="40" t="s">
        <v>25</v>
      </c>
      <c r="G22" s="40"/>
      <c r="H22" s="40"/>
      <c r="I22" s="40"/>
      <c r="M22" s="48" t="s">
        <v>30</v>
      </c>
      <c r="N22" s="49"/>
      <c r="O22" s="49"/>
      <c r="P22" s="49"/>
    </row>
    <row r="23" spans="6:16" x14ac:dyDescent="0.25">
      <c r="F23" s="42" t="s">
        <v>26</v>
      </c>
      <c r="G23" s="44">
        <v>44562</v>
      </c>
      <c r="H23" s="44">
        <f>EDATE(G23,12)</f>
        <v>44927</v>
      </c>
      <c r="I23" s="44">
        <f>EDATE(H23,12)</f>
        <v>45292</v>
      </c>
      <c r="M23" s="50" t="s">
        <v>31</v>
      </c>
      <c r="N23" s="51">
        <v>50000</v>
      </c>
      <c r="O23" s="51">
        <v>125000</v>
      </c>
      <c r="P23" s="51">
        <v>250000</v>
      </c>
    </row>
    <row r="24" spans="6:16" x14ac:dyDescent="0.25">
      <c r="F24" t="s">
        <v>27</v>
      </c>
      <c r="G24" s="45">
        <f>CHOOSE($G$28,N23,N24,N25)</f>
        <v>50000</v>
      </c>
      <c r="H24" s="45">
        <f t="shared" ref="H24:I24" si="0">CHOOSE($G$28,O23,O24,O25)</f>
        <v>125000</v>
      </c>
      <c r="I24" s="45">
        <f t="shared" si="0"/>
        <v>250000</v>
      </c>
      <c r="M24" s="50" t="s">
        <v>32</v>
      </c>
      <c r="N24" s="51">
        <v>25000</v>
      </c>
      <c r="O24" s="51">
        <v>37500</v>
      </c>
      <c r="P24" s="51">
        <v>50000</v>
      </c>
    </row>
    <row r="25" spans="6:16" x14ac:dyDescent="0.25">
      <c r="F25" t="s">
        <v>28</v>
      </c>
      <c r="G25" s="45">
        <f>CHOOSE($G$28,N31,N32,N33)</f>
        <v>-5000</v>
      </c>
      <c r="H25" s="45">
        <f t="shared" ref="H25:I25" si="1">CHOOSE($G$28,O31,O32,O33)</f>
        <v>-12500</v>
      </c>
      <c r="I25" s="45">
        <f t="shared" si="1"/>
        <v>-25000</v>
      </c>
      <c r="M25" s="50" t="s">
        <v>33</v>
      </c>
      <c r="N25" s="51">
        <v>12500</v>
      </c>
      <c r="O25" s="51">
        <v>13000</v>
      </c>
      <c r="P25" s="51">
        <v>13250</v>
      </c>
    </row>
    <row r="26" spans="6:16" x14ac:dyDescent="0.25">
      <c r="F26" s="46" t="s">
        <v>29</v>
      </c>
      <c r="G26" s="47">
        <f>SUM(G24:G25)</f>
        <v>45000</v>
      </c>
      <c r="H26" s="47">
        <f t="shared" ref="H26:I26" si="2">SUM(H24:H25)</f>
        <v>112500</v>
      </c>
      <c r="I26" s="47">
        <f t="shared" si="2"/>
        <v>225000</v>
      </c>
      <c r="M26" s="52"/>
      <c r="N26" s="53"/>
      <c r="O26" s="53"/>
      <c r="P26" s="53"/>
    </row>
    <row r="27" spans="6:16" x14ac:dyDescent="0.25">
      <c r="F27" s="54"/>
      <c r="G27" s="55"/>
      <c r="H27" s="55"/>
      <c r="I27" s="55"/>
      <c r="M27" s="52"/>
      <c r="N27" s="53"/>
      <c r="O27" s="53"/>
      <c r="P27" s="53"/>
    </row>
    <row r="28" spans="6:16" x14ac:dyDescent="0.25">
      <c r="F28" s="54" t="s">
        <v>35</v>
      </c>
      <c r="G28" s="56">
        <v>1</v>
      </c>
      <c r="H28" s="55"/>
      <c r="I28" s="55"/>
      <c r="M28" s="52"/>
      <c r="N28" s="53"/>
      <c r="O28" s="53"/>
      <c r="P28" s="53"/>
    </row>
    <row r="29" spans="6:16" x14ac:dyDescent="0.25">
      <c r="F29" s="54"/>
      <c r="G29" s="55"/>
      <c r="H29" s="55"/>
      <c r="I29" s="55"/>
      <c r="M29" s="52"/>
      <c r="N29" s="53"/>
      <c r="O29" s="53"/>
      <c r="P29" s="53"/>
    </row>
    <row r="30" spans="6:16" x14ac:dyDescent="0.25">
      <c r="M30" s="48" t="s">
        <v>34</v>
      </c>
      <c r="N30" s="53"/>
      <c r="O30" s="53"/>
      <c r="P30" s="53"/>
    </row>
    <row r="31" spans="6:16" x14ac:dyDescent="0.25">
      <c r="M31" s="50" t="s">
        <v>31</v>
      </c>
      <c r="N31" s="51">
        <v>-5000</v>
      </c>
      <c r="O31" s="51">
        <v>-12500</v>
      </c>
      <c r="P31" s="51">
        <v>-25000</v>
      </c>
    </row>
    <row r="32" spans="6:16" x14ac:dyDescent="0.25">
      <c r="M32" s="50" t="s">
        <v>32</v>
      </c>
      <c r="N32" s="51">
        <v>-16000</v>
      </c>
      <c r="O32" s="51">
        <v>-25000</v>
      </c>
      <c r="P32" s="51">
        <v>-37500</v>
      </c>
    </row>
    <row r="33" spans="13:16" x14ac:dyDescent="0.25">
      <c r="M33" s="50" t="s">
        <v>33</v>
      </c>
      <c r="N33" s="51">
        <v>-22500</v>
      </c>
      <c r="O33" s="51">
        <v>-30000</v>
      </c>
      <c r="P33" s="51">
        <v>-45000</v>
      </c>
    </row>
  </sheetData>
  <mergeCells count="9">
    <mergeCell ref="F22:I22"/>
    <mergeCell ref="B5:C5"/>
    <mergeCell ref="F5:G5"/>
    <mergeCell ref="F12:G12"/>
    <mergeCell ref="I5:J5"/>
    <mergeCell ref="I12:J12"/>
    <mergeCell ref="L5:R5"/>
    <mergeCell ref="N6:R6"/>
    <mergeCell ref="L8:L12"/>
  </mergeCells>
  <conditionalFormatting sqref="N8:R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G28" xr:uid="{EE04C42A-33D1-400D-BD0A-F74257DFF667}">
      <formula1>"1,2,3"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SHAIKH MUBASHIR MEHMOOD</cp:lastModifiedBy>
  <dcterms:created xsi:type="dcterms:W3CDTF">2023-01-02T13:41:33Z</dcterms:created>
  <dcterms:modified xsi:type="dcterms:W3CDTF">2026-06-17T13:17:26Z</dcterms:modified>
</cp:coreProperties>
</file>